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r\Desktop\Optimización&amp;Simulación\"/>
    </mc:Choice>
  </mc:AlternateContent>
  <xr:revisionPtr revIDLastSave="0" documentId="8_{C20EAB5D-3CE3-45B2-B55E-A1074CAD55F5}" xr6:coauthVersionLast="47" xr6:coauthVersionMax="47" xr10:uidLastSave="{00000000-0000-0000-0000-000000000000}"/>
  <bookViews>
    <workbookView xWindow="-120" yWindow="-120" windowWidth="20730" windowHeight="11040" xr2:uid="{3D2B0D99-683D-4C60-A078-F65CC6129F95}"/>
  </bookViews>
  <sheets>
    <sheet name="DIA1-23Abril" sheetId="2" r:id="rId1"/>
    <sheet name="DIA2-24Abri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E4" i="1"/>
  <c r="H20" i="1"/>
  <c r="G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  <c r="F4" i="1"/>
  <c r="H24" i="2"/>
  <c r="G2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4" i="2"/>
  <c r="F2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4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0" i="1" l="1"/>
</calcChain>
</file>

<file path=xl/sharedStrings.xml><?xml version="1.0" encoding="utf-8"?>
<sst xmlns="http://schemas.openxmlformats.org/spreadsheetml/2006/main" count="29" uniqueCount="14">
  <si>
    <t>Personas</t>
  </si>
  <si>
    <t>Tiempo Llegada</t>
  </si>
  <si>
    <t>Hora inicio</t>
  </si>
  <si>
    <t>Hora final</t>
  </si>
  <si>
    <t>Hora Inicio Registro</t>
  </si>
  <si>
    <t>12:17 LlUEVE</t>
  </si>
  <si>
    <t>Llueve 12:30</t>
  </si>
  <si>
    <t>ya no Llueve 12:35</t>
  </si>
  <si>
    <t>Tiempo de Servicio (s)</t>
  </si>
  <si>
    <t>Promedio</t>
  </si>
  <si>
    <t>Tiempo de Espera (s)</t>
  </si>
  <si>
    <t>Tiempo Total  (s)</t>
  </si>
  <si>
    <t>Tiempo de Obeservación (min)</t>
  </si>
  <si>
    <t>Tasa de llegadas personas/min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</si>
</sst>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74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530F-1BB5-4491-9E52-F02E2652CA84}">
  <dimension ref="A1:H24"/>
  <sheetViews>
    <sheetView tabSelected="1" topLeftCell="A6" workbookViewId="0">
      <selection activeCell="I14" sqref="I14"/>
    </sheetView>
  </sheetViews>
  <sheetFormatPr baseColWidth="10" defaultRowHeight="15" x14ac:dyDescent="0.25"/>
  <cols>
    <col min="1" max="1" width="11.5703125" style="1"/>
    <col min="2" max="4" width="17.140625" style="1" customWidth="1"/>
    <col min="5" max="5" width="28.42578125" style="1" bestFit="1" customWidth="1"/>
    <col min="6" max="7" width="20.42578125" bestFit="1" customWidth="1"/>
    <col min="8" max="8" width="15.7109375" bestFit="1" customWidth="1"/>
  </cols>
  <sheetData>
    <row r="1" spans="1:8" x14ac:dyDescent="0.25">
      <c r="B1" s="3" t="s">
        <v>4</v>
      </c>
      <c r="C1" s="3"/>
      <c r="D1" s="2">
        <v>0.4861111111111111</v>
      </c>
      <c r="E1" s="2" t="s">
        <v>12</v>
      </c>
    </row>
    <row r="2" spans="1:8" x14ac:dyDescent="0.25">
      <c r="E2" s="1">
        <v>62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13</v>
      </c>
      <c r="F3" s="5" t="s">
        <v>8</v>
      </c>
      <c r="G3" s="5" t="s">
        <v>10</v>
      </c>
      <c r="H3" s="5" t="s">
        <v>11</v>
      </c>
    </row>
    <row r="4" spans="1:8" x14ac:dyDescent="0.25">
      <c r="A4" s="1">
        <v>1</v>
      </c>
      <c r="B4" s="2">
        <v>0.48680555555555555</v>
      </c>
      <c r="C4" s="2">
        <v>0.48680555555555555</v>
      </c>
      <c r="D4" s="2">
        <v>0.48819444444444443</v>
      </c>
      <c r="E4" s="1">
        <f>A22/E2</f>
        <v>0.30645161290322581</v>
      </c>
      <c r="F4" s="6">
        <f>D4-C4</f>
        <v>1.388888888888884E-3</v>
      </c>
      <c r="G4" s="2">
        <f>C4-B4</f>
        <v>0</v>
      </c>
      <c r="H4" s="2">
        <f>D4-B4</f>
        <v>1.388888888888884E-3</v>
      </c>
    </row>
    <row r="5" spans="1:8" x14ac:dyDescent="0.25">
      <c r="A5" s="1">
        <v>2</v>
      </c>
      <c r="B5" s="2">
        <v>0.49027777777777776</v>
      </c>
      <c r="C5" s="2">
        <v>0.49027777777777776</v>
      </c>
      <c r="D5" s="2">
        <v>0.49166666666666664</v>
      </c>
      <c r="F5" s="6">
        <f t="shared" ref="F5:F22" si="0">D5-C5</f>
        <v>1.388888888888884E-3</v>
      </c>
      <c r="G5" s="2">
        <f t="shared" ref="G5:G22" si="1">C5-B5</f>
        <v>0</v>
      </c>
      <c r="H5" s="2">
        <f t="shared" ref="H5:H22" si="2">D5-B5</f>
        <v>1.388888888888884E-3</v>
      </c>
    </row>
    <row r="6" spans="1:8" x14ac:dyDescent="0.25">
      <c r="A6" s="1">
        <v>3</v>
      </c>
      <c r="B6" s="2">
        <v>0.49652777777777779</v>
      </c>
      <c r="C6" s="2">
        <v>0.49652777777777779</v>
      </c>
      <c r="D6" s="2">
        <v>0.49791666666666667</v>
      </c>
      <c r="F6" s="6">
        <f t="shared" si="0"/>
        <v>1.388888888888884E-3</v>
      </c>
      <c r="G6" s="2">
        <f t="shared" si="1"/>
        <v>0</v>
      </c>
      <c r="H6" s="2">
        <f t="shared" si="2"/>
        <v>1.388888888888884E-3</v>
      </c>
    </row>
    <row r="7" spans="1:8" x14ac:dyDescent="0.25">
      <c r="A7" s="1">
        <v>4</v>
      </c>
      <c r="B7" s="2">
        <v>0.49722222222222223</v>
      </c>
      <c r="C7" s="2">
        <v>0.49791666666666667</v>
      </c>
      <c r="D7" s="2">
        <v>0.50069444444444444</v>
      </c>
      <c r="F7" s="6">
        <f t="shared" si="0"/>
        <v>2.7777777777777679E-3</v>
      </c>
      <c r="G7" s="2">
        <f t="shared" si="1"/>
        <v>6.9444444444444198E-4</v>
      </c>
      <c r="H7" s="2">
        <f t="shared" si="2"/>
        <v>3.4722222222222099E-3</v>
      </c>
    </row>
    <row r="8" spans="1:8" x14ac:dyDescent="0.25">
      <c r="A8" s="1">
        <v>5</v>
      </c>
      <c r="B8" s="2">
        <v>0.5</v>
      </c>
      <c r="C8" s="2">
        <v>0.50138888888888888</v>
      </c>
      <c r="D8" s="2">
        <v>0.50416666666666665</v>
      </c>
      <c r="F8" s="6">
        <f t="shared" si="0"/>
        <v>2.7777777777777679E-3</v>
      </c>
      <c r="G8" s="2">
        <f t="shared" si="1"/>
        <v>1.388888888888884E-3</v>
      </c>
      <c r="H8" s="2">
        <f t="shared" si="2"/>
        <v>4.1666666666666519E-3</v>
      </c>
    </row>
    <row r="9" spans="1:8" x14ac:dyDescent="0.25">
      <c r="A9" s="1">
        <v>6</v>
      </c>
      <c r="B9" s="2">
        <v>0.50069444444444444</v>
      </c>
      <c r="C9" s="2">
        <v>0.50486111111111109</v>
      </c>
      <c r="D9" s="2">
        <v>0.50624999999999998</v>
      </c>
      <c r="F9" s="6">
        <f t="shared" si="0"/>
        <v>1.388888888888884E-3</v>
      </c>
      <c r="G9" s="2">
        <f t="shared" si="1"/>
        <v>4.1666666666666519E-3</v>
      </c>
      <c r="H9" s="2">
        <f t="shared" si="2"/>
        <v>5.5555555555555358E-3</v>
      </c>
    </row>
    <row r="10" spans="1:8" x14ac:dyDescent="0.25">
      <c r="A10" s="1">
        <v>7</v>
      </c>
      <c r="B10" s="2">
        <v>0.50208333333333333</v>
      </c>
      <c r="C10" s="2">
        <v>0.50694444444444442</v>
      </c>
      <c r="D10" s="2">
        <v>0.50902777777777775</v>
      </c>
      <c r="F10" s="6">
        <f t="shared" si="0"/>
        <v>2.0833333333333259E-3</v>
      </c>
      <c r="G10" s="2">
        <f t="shared" si="1"/>
        <v>4.8611111111110938E-3</v>
      </c>
      <c r="H10" s="2">
        <f t="shared" si="2"/>
        <v>6.9444444444444198E-3</v>
      </c>
    </row>
    <row r="11" spans="1:8" x14ac:dyDescent="0.25">
      <c r="A11" s="1">
        <v>8</v>
      </c>
      <c r="B11" s="2">
        <v>0.50486111111111109</v>
      </c>
      <c r="C11" s="2">
        <v>0.50902777777777775</v>
      </c>
      <c r="D11" s="2">
        <v>0.51041666666666663</v>
      </c>
      <c r="F11" s="6">
        <f t="shared" si="0"/>
        <v>1.388888888888884E-3</v>
      </c>
      <c r="G11" s="2">
        <f t="shared" si="1"/>
        <v>4.1666666666666519E-3</v>
      </c>
      <c r="H11" s="2">
        <f t="shared" si="2"/>
        <v>5.5555555555555358E-3</v>
      </c>
    </row>
    <row r="12" spans="1:8" x14ac:dyDescent="0.25">
      <c r="A12" s="1">
        <v>9</v>
      </c>
      <c r="B12" s="2">
        <v>0.50694444444444442</v>
      </c>
      <c r="C12" s="2">
        <v>0.51111111111111107</v>
      </c>
      <c r="D12" s="2">
        <v>0.51180555555555551</v>
      </c>
      <c r="F12" s="6">
        <f t="shared" si="0"/>
        <v>6.9444444444444198E-4</v>
      </c>
      <c r="G12" s="2">
        <f t="shared" si="1"/>
        <v>4.1666666666666519E-3</v>
      </c>
      <c r="H12" s="2">
        <f t="shared" si="2"/>
        <v>4.8611111111110938E-3</v>
      </c>
    </row>
    <row r="13" spans="1:8" x14ac:dyDescent="0.25">
      <c r="A13" s="1">
        <v>10</v>
      </c>
      <c r="B13" s="2">
        <v>0.50763888888888886</v>
      </c>
      <c r="C13" s="2">
        <v>0.51180555555555551</v>
      </c>
      <c r="D13" s="2">
        <v>0.5131944444444444</v>
      </c>
      <c r="F13" s="6">
        <f t="shared" si="0"/>
        <v>1.388888888888884E-3</v>
      </c>
      <c r="G13" s="2">
        <f t="shared" si="1"/>
        <v>4.1666666666666519E-3</v>
      </c>
      <c r="H13" s="2">
        <f t="shared" si="2"/>
        <v>5.5555555555555358E-3</v>
      </c>
    </row>
    <row r="14" spans="1:8" x14ac:dyDescent="0.25">
      <c r="A14" s="1">
        <v>11</v>
      </c>
      <c r="B14" s="2">
        <v>0.50972222222222219</v>
      </c>
      <c r="C14" s="2">
        <v>0.5131944444444444</v>
      </c>
      <c r="D14" s="2">
        <v>0.51458333333333328</v>
      </c>
      <c r="F14" s="6">
        <f t="shared" si="0"/>
        <v>1.388888888888884E-3</v>
      </c>
      <c r="G14" s="2">
        <f t="shared" si="1"/>
        <v>3.4722222222222099E-3</v>
      </c>
      <c r="H14" s="2">
        <f t="shared" si="2"/>
        <v>4.8611111111110938E-3</v>
      </c>
    </row>
    <row r="15" spans="1:8" x14ac:dyDescent="0.25">
      <c r="A15" s="1">
        <v>12</v>
      </c>
      <c r="B15" s="2">
        <v>0.50972222222222219</v>
      </c>
      <c r="C15" s="2">
        <v>0.51527777777777772</v>
      </c>
      <c r="D15" s="2">
        <v>0.51736111111111116</v>
      </c>
      <c r="F15" s="6">
        <f t="shared" si="0"/>
        <v>2.083333333333437E-3</v>
      </c>
      <c r="G15" s="2">
        <f t="shared" si="1"/>
        <v>5.5555555555555358E-3</v>
      </c>
      <c r="H15" s="2">
        <f t="shared" si="2"/>
        <v>7.6388888888889728E-3</v>
      </c>
    </row>
    <row r="16" spans="1:8" x14ac:dyDescent="0.25">
      <c r="A16" s="1">
        <v>13</v>
      </c>
      <c r="B16" s="2">
        <v>0.51458333333333328</v>
      </c>
      <c r="C16" s="2">
        <v>0.51736111111111116</v>
      </c>
      <c r="D16" s="2">
        <v>0.5180555555555556</v>
      </c>
      <c r="F16" s="6">
        <f t="shared" si="0"/>
        <v>6.9444444444444198E-4</v>
      </c>
      <c r="G16" s="2">
        <f t="shared" si="1"/>
        <v>2.7777777777778789E-3</v>
      </c>
      <c r="H16" s="2">
        <f t="shared" si="2"/>
        <v>3.4722222222223209E-3</v>
      </c>
    </row>
    <row r="17" spans="1:8" x14ac:dyDescent="0.25">
      <c r="A17" s="1">
        <v>14</v>
      </c>
      <c r="B17" s="2">
        <v>0.5180555555555556</v>
      </c>
      <c r="C17" s="2">
        <v>0.51875000000000004</v>
      </c>
      <c r="D17" s="2">
        <v>0.51944444444444449</v>
      </c>
      <c r="E17" s="1" t="s">
        <v>6</v>
      </c>
      <c r="F17" s="6">
        <f t="shared" si="0"/>
        <v>6.9444444444444198E-4</v>
      </c>
      <c r="G17" s="2">
        <f t="shared" si="1"/>
        <v>6.9444444444444198E-4</v>
      </c>
      <c r="H17" s="2">
        <f t="shared" si="2"/>
        <v>1.388888888888884E-3</v>
      </c>
    </row>
    <row r="18" spans="1:8" x14ac:dyDescent="0.25">
      <c r="A18" s="1">
        <v>15</v>
      </c>
      <c r="B18" s="2">
        <v>0.52152777777777781</v>
      </c>
      <c r="C18" s="2">
        <v>0.52152777777777781</v>
      </c>
      <c r="D18" s="2">
        <v>0.5229166666666667</v>
      </c>
      <c r="F18" s="6">
        <f t="shared" si="0"/>
        <v>1.388888888888884E-3</v>
      </c>
      <c r="G18" s="2">
        <f t="shared" si="1"/>
        <v>0</v>
      </c>
      <c r="H18" s="2">
        <f t="shared" si="2"/>
        <v>1.388888888888884E-3</v>
      </c>
    </row>
    <row r="19" spans="1:8" x14ac:dyDescent="0.25">
      <c r="A19" s="1">
        <v>16</v>
      </c>
      <c r="B19" s="2">
        <v>0.52222222222222225</v>
      </c>
      <c r="C19" s="2">
        <v>0.5229166666666667</v>
      </c>
      <c r="D19" s="2">
        <v>0.52430555555555558</v>
      </c>
      <c r="F19" s="6">
        <f t="shared" si="0"/>
        <v>1.388888888888884E-3</v>
      </c>
      <c r="G19" s="2">
        <f t="shared" si="1"/>
        <v>6.9444444444444198E-4</v>
      </c>
      <c r="H19" s="2">
        <f t="shared" si="2"/>
        <v>2.0833333333333259E-3</v>
      </c>
    </row>
    <row r="20" spans="1:8" x14ac:dyDescent="0.25">
      <c r="A20" s="1">
        <v>17</v>
      </c>
      <c r="B20" s="2">
        <v>0.52222222222222225</v>
      </c>
      <c r="C20" s="2">
        <v>0.52500000000000002</v>
      </c>
      <c r="D20" s="2">
        <v>0.52708333333333335</v>
      </c>
      <c r="E20" s="1" t="s">
        <v>7</v>
      </c>
      <c r="F20" s="6">
        <f t="shared" si="0"/>
        <v>2.0833333333333259E-3</v>
      </c>
      <c r="G20" s="2">
        <f t="shared" si="1"/>
        <v>2.7777777777777679E-3</v>
      </c>
      <c r="H20" s="2">
        <f t="shared" si="2"/>
        <v>4.8611111111110938E-3</v>
      </c>
    </row>
    <row r="21" spans="1:8" x14ac:dyDescent="0.25">
      <c r="A21" s="1">
        <v>18</v>
      </c>
      <c r="B21" s="2">
        <v>0.52638888888888891</v>
      </c>
      <c r="C21" s="2">
        <v>0.52708333333333335</v>
      </c>
      <c r="D21" s="2">
        <v>0.52847222222222223</v>
      </c>
      <c r="F21" s="6">
        <f t="shared" si="0"/>
        <v>1.388888888888884E-3</v>
      </c>
      <c r="G21" s="2">
        <f t="shared" si="1"/>
        <v>6.9444444444444198E-4</v>
      </c>
      <c r="H21" s="2">
        <f t="shared" si="2"/>
        <v>2.0833333333333259E-3</v>
      </c>
    </row>
    <row r="22" spans="1:8" x14ac:dyDescent="0.25">
      <c r="A22" s="1">
        <v>19</v>
      </c>
      <c r="B22" s="2">
        <v>0.52777777777777779</v>
      </c>
      <c r="C22" s="2">
        <v>0.52847222222222223</v>
      </c>
      <c r="D22" s="2">
        <v>0.52916666666666667</v>
      </c>
      <c r="F22" s="6">
        <f t="shared" si="0"/>
        <v>6.9444444444444198E-4</v>
      </c>
      <c r="G22" s="2">
        <f t="shared" si="1"/>
        <v>6.9444444444444198E-4</v>
      </c>
      <c r="H22" s="2">
        <f t="shared" si="2"/>
        <v>1.388888888888884E-3</v>
      </c>
    </row>
    <row r="23" spans="1:8" x14ac:dyDescent="0.25">
      <c r="F23" s="1" t="s">
        <v>9</v>
      </c>
      <c r="G23" s="1" t="s">
        <v>9</v>
      </c>
      <c r="H23" s="1" t="s">
        <v>9</v>
      </c>
    </row>
    <row r="24" spans="1:8" x14ac:dyDescent="0.25">
      <c r="F24" s="2">
        <f>AVERAGE(F4:F22)</f>
        <v>1.498538011695907E-3</v>
      </c>
      <c r="G24" s="2">
        <f>AVERAGE(G4:G22)</f>
        <v>2.15643274853801E-3</v>
      </c>
      <c r="H24" s="2">
        <f>AVERAGE(H4:H22)</f>
        <v>3.6549707602339166E-3</v>
      </c>
    </row>
  </sheetData>
  <mergeCells count="1">
    <mergeCell ref="B1:C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2570-413C-4D1A-9F49-BF181857EC6E}">
  <dimension ref="A1:H22"/>
  <sheetViews>
    <sheetView topLeftCell="C1" zoomScale="91" workbookViewId="0">
      <selection activeCell="N19" sqref="N19"/>
    </sheetView>
  </sheetViews>
  <sheetFormatPr baseColWidth="10" defaultRowHeight="15" x14ac:dyDescent="0.25"/>
  <cols>
    <col min="1" max="1" width="8.5703125" style="1" bestFit="1" customWidth="1"/>
    <col min="2" max="4" width="17.28515625" style="1" customWidth="1"/>
    <col min="5" max="5" width="28.42578125" style="1" bestFit="1" customWidth="1"/>
    <col min="6" max="6" width="20.42578125" bestFit="1" customWidth="1"/>
    <col min="7" max="7" width="19.5703125" style="1" bestFit="1" customWidth="1"/>
    <col min="8" max="8" width="15.7109375" bestFit="1" customWidth="1"/>
  </cols>
  <sheetData>
    <row r="1" spans="1:8" x14ac:dyDescent="0.25">
      <c r="B1" s="3" t="s">
        <v>4</v>
      </c>
      <c r="C1" s="3"/>
      <c r="D1" s="2">
        <v>0.4861111111111111</v>
      </c>
      <c r="E1" s="2" t="s">
        <v>12</v>
      </c>
    </row>
    <row r="2" spans="1:8" x14ac:dyDescent="0.25">
      <c r="E2" s="1">
        <v>62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13</v>
      </c>
      <c r="F3" s="1" t="s">
        <v>8</v>
      </c>
      <c r="G3" s="5" t="s">
        <v>10</v>
      </c>
      <c r="H3" s="5" t="s">
        <v>11</v>
      </c>
    </row>
    <row r="4" spans="1:8" ht="14.45" customHeight="1" x14ac:dyDescent="0.25">
      <c r="A4" s="1">
        <v>1</v>
      </c>
      <c r="B4" s="2">
        <v>0.4909722222222222</v>
      </c>
      <c r="C4" s="2">
        <v>0.49166666666666664</v>
      </c>
      <c r="D4" s="2">
        <v>0.49305555555555558</v>
      </c>
      <c r="E4" s="7">
        <f>A18/(E2)</f>
        <v>0.24193548387096775</v>
      </c>
      <c r="F4" s="2">
        <f>D4-C4</f>
        <v>1.3888888888889395E-3</v>
      </c>
      <c r="G4" s="2">
        <f>C4-B4</f>
        <v>6.9444444444444198E-4</v>
      </c>
      <c r="H4" s="4">
        <f>D4-B4</f>
        <v>2.0833333333333814E-3</v>
      </c>
    </row>
    <row r="5" spans="1:8" x14ac:dyDescent="0.25">
      <c r="A5" s="1">
        <v>2</v>
      </c>
      <c r="B5" s="2">
        <v>0.49375000000000002</v>
      </c>
      <c r="C5" s="2">
        <v>0.49375000000000002</v>
      </c>
      <c r="D5" s="2">
        <v>0.49513888888888891</v>
      </c>
      <c r="E5" s="2"/>
      <c r="F5" s="2">
        <f>D5-C5</f>
        <v>1.388888888888884E-3</v>
      </c>
      <c r="G5" s="2">
        <f t="shared" ref="G5:G18" si="0">C5-B5</f>
        <v>0</v>
      </c>
      <c r="H5" s="4">
        <f t="shared" ref="H5:H18" si="1">D5-B5</f>
        <v>1.388888888888884E-3</v>
      </c>
    </row>
    <row r="6" spans="1:8" x14ac:dyDescent="0.25">
      <c r="A6" s="1">
        <v>3</v>
      </c>
      <c r="B6" s="2">
        <v>0.5</v>
      </c>
      <c r="C6" s="2">
        <v>0.50069444444444444</v>
      </c>
      <c r="D6" s="2">
        <v>0.50138888888888888</v>
      </c>
      <c r="E6" s="2"/>
      <c r="F6" s="2">
        <f>D6-C6</f>
        <v>6.9444444444444198E-4</v>
      </c>
      <c r="G6" s="2">
        <f t="shared" si="0"/>
        <v>6.9444444444444198E-4</v>
      </c>
      <c r="H6" s="4">
        <f t="shared" si="1"/>
        <v>1.388888888888884E-3</v>
      </c>
    </row>
    <row r="7" spans="1:8" x14ac:dyDescent="0.25">
      <c r="A7" s="1">
        <v>4</v>
      </c>
      <c r="B7" s="2">
        <v>0.50138888888888888</v>
      </c>
      <c r="C7" s="2">
        <v>0.50208333333333333</v>
      </c>
      <c r="D7" s="2">
        <v>0.50347222222222221</v>
      </c>
      <c r="E7" s="2"/>
      <c r="F7" s="2">
        <f>D7-C7</f>
        <v>1.388888888888884E-3</v>
      </c>
      <c r="G7" s="2">
        <f t="shared" si="0"/>
        <v>6.9444444444444198E-4</v>
      </c>
      <c r="H7" s="4">
        <f t="shared" si="1"/>
        <v>2.0833333333333259E-3</v>
      </c>
    </row>
    <row r="8" spans="1:8" x14ac:dyDescent="0.25">
      <c r="A8" s="1">
        <v>5</v>
      </c>
      <c r="B8" s="2">
        <v>0.50416666666666665</v>
      </c>
      <c r="C8" s="2">
        <v>0.50416666666666665</v>
      </c>
      <c r="D8" s="2">
        <v>0.50624999999999998</v>
      </c>
      <c r="E8" s="2"/>
      <c r="F8" s="2">
        <f>D8-C8</f>
        <v>2.0833333333333259E-3</v>
      </c>
      <c r="G8" s="2">
        <f t="shared" si="0"/>
        <v>0</v>
      </c>
      <c r="H8" s="4">
        <f t="shared" si="1"/>
        <v>2.0833333333333259E-3</v>
      </c>
    </row>
    <row r="9" spans="1:8" x14ac:dyDescent="0.25">
      <c r="A9" s="1">
        <v>6</v>
      </c>
      <c r="B9" s="2">
        <v>0.50486111111111109</v>
      </c>
      <c r="C9" s="2">
        <v>0.50694444444444442</v>
      </c>
      <c r="D9" s="2">
        <v>0.5083333333333333</v>
      </c>
      <c r="E9" s="2"/>
      <c r="F9" s="2">
        <f>D9-C9</f>
        <v>1.388888888888884E-3</v>
      </c>
      <c r="G9" s="2">
        <f t="shared" si="0"/>
        <v>2.0833333333333259E-3</v>
      </c>
      <c r="H9" s="4">
        <f t="shared" si="1"/>
        <v>3.4722222222222099E-3</v>
      </c>
    </row>
    <row r="10" spans="1:8" x14ac:dyDescent="0.25">
      <c r="A10" s="1">
        <v>7</v>
      </c>
      <c r="B10" s="2">
        <v>0.50486111111111109</v>
      </c>
      <c r="C10" s="2">
        <v>0.50902777777777775</v>
      </c>
      <c r="D10" s="2">
        <v>0.51111111111111107</v>
      </c>
      <c r="E10" s="2"/>
      <c r="F10" s="2">
        <f>D10-C10</f>
        <v>2.0833333333333259E-3</v>
      </c>
      <c r="G10" s="2">
        <f t="shared" si="0"/>
        <v>4.1666666666666519E-3</v>
      </c>
      <c r="H10" s="4">
        <f t="shared" si="1"/>
        <v>6.2499999999999778E-3</v>
      </c>
    </row>
    <row r="11" spans="1:8" x14ac:dyDescent="0.25">
      <c r="A11" s="1">
        <v>8</v>
      </c>
      <c r="B11" s="2">
        <v>0.50555555555555554</v>
      </c>
      <c r="C11" s="2">
        <v>0.51111111111111107</v>
      </c>
      <c r="D11" s="2">
        <v>0.5131944444444444</v>
      </c>
      <c r="E11" s="1" t="s">
        <v>5</v>
      </c>
      <c r="F11" s="2">
        <f>D11-C11</f>
        <v>2.0833333333333259E-3</v>
      </c>
      <c r="G11" s="2">
        <f t="shared" si="0"/>
        <v>5.5555555555555358E-3</v>
      </c>
      <c r="H11" s="4">
        <f t="shared" si="1"/>
        <v>7.6388888888888618E-3</v>
      </c>
    </row>
    <row r="12" spans="1:8" x14ac:dyDescent="0.25">
      <c r="A12" s="1">
        <v>9</v>
      </c>
      <c r="B12" s="2">
        <v>0.5083333333333333</v>
      </c>
      <c r="C12" s="2">
        <v>0.5131944444444444</v>
      </c>
      <c r="D12" s="2">
        <v>0.51458333333333328</v>
      </c>
      <c r="E12" s="2"/>
      <c r="F12" s="2">
        <f>D12-C12</f>
        <v>1.388888888888884E-3</v>
      </c>
      <c r="G12" s="2">
        <f t="shared" si="0"/>
        <v>4.8611111111110938E-3</v>
      </c>
      <c r="H12" s="4">
        <f t="shared" si="1"/>
        <v>6.2499999999999778E-3</v>
      </c>
    </row>
    <row r="13" spans="1:8" x14ac:dyDescent="0.25">
      <c r="A13" s="1">
        <v>10</v>
      </c>
      <c r="B13" s="2">
        <v>0.51041666666666663</v>
      </c>
      <c r="C13" s="2">
        <v>0.51527777777777772</v>
      </c>
      <c r="D13" s="2">
        <v>0.51666666666666672</v>
      </c>
      <c r="E13" s="2"/>
      <c r="F13" s="2">
        <f>D13-C13</f>
        <v>1.388888888888995E-3</v>
      </c>
      <c r="G13" s="2">
        <f t="shared" si="0"/>
        <v>4.8611111111110938E-3</v>
      </c>
      <c r="H13" s="4">
        <f t="shared" si="1"/>
        <v>6.2500000000000888E-3</v>
      </c>
    </row>
    <row r="14" spans="1:8" x14ac:dyDescent="0.25">
      <c r="A14" s="1">
        <v>11</v>
      </c>
      <c r="B14" s="2">
        <v>0.5131944444444444</v>
      </c>
      <c r="C14" s="2">
        <v>0.51666666666666672</v>
      </c>
      <c r="D14" s="2">
        <v>0.52013888888888893</v>
      </c>
      <c r="E14" s="2"/>
      <c r="F14" s="2">
        <f>D14-C14</f>
        <v>3.4722222222222099E-3</v>
      </c>
      <c r="G14" s="2">
        <f t="shared" si="0"/>
        <v>3.4722222222223209E-3</v>
      </c>
      <c r="H14" s="4">
        <f t="shared" si="1"/>
        <v>6.9444444444445308E-3</v>
      </c>
    </row>
    <row r="15" spans="1:8" x14ac:dyDescent="0.25">
      <c r="A15" s="1">
        <v>12</v>
      </c>
      <c r="B15" s="2">
        <v>0.51736111111111116</v>
      </c>
      <c r="C15" s="2">
        <v>0.52083333333333337</v>
      </c>
      <c r="D15" s="2">
        <v>0.5229166666666667</v>
      </c>
      <c r="E15" s="2"/>
      <c r="F15" s="2">
        <f>D15-C15</f>
        <v>2.0833333333333259E-3</v>
      </c>
      <c r="G15" s="2">
        <f t="shared" si="0"/>
        <v>3.4722222222222099E-3</v>
      </c>
      <c r="H15" s="4">
        <f t="shared" si="1"/>
        <v>5.5555555555555358E-3</v>
      </c>
    </row>
    <row r="16" spans="1:8" x14ac:dyDescent="0.25">
      <c r="A16" s="1">
        <v>13</v>
      </c>
      <c r="B16" s="2">
        <v>0.5229166666666667</v>
      </c>
      <c r="C16" s="2">
        <v>0.5229166666666667</v>
      </c>
      <c r="D16" s="2">
        <v>0.52500000000000002</v>
      </c>
      <c r="E16" s="2"/>
      <c r="F16" s="2">
        <f>D16-C16</f>
        <v>2.0833333333333259E-3</v>
      </c>
      <c r="G16" s="2">
        <f t="shared" si="0"/>
        <v>0</v>
      </c>
      <c r="H16" s="4">
        <f t="shared" si="1"/>
        <v>2.0833333333333259E-3</v>
      </c>
    </row>
    <row r="17" spans="1:8" x14ac:dyDescent="0.25">
      <c r="A17" s="1">
        <v>14</v>
      </c>
      <c r="B17" s="2">
        <v>0.52361111111111114</v>
      </c>
      <c r="C17" s="2">
        <v>0.52500000000000002</v>
      </c>
      <c r="D17" s="2">
        <v>0.52708333333333335</v>
      </c>
      <c r="E17" s="2"/>
      <c r="F17" s="2">
        <f>D17-C17</f>
        <v>2.0833333333333259E-3</v>
      </c>
      <c r="G17" s="2">
        <f t="shared" si="0"/>
        <v>1.388888888888884E-3</v>
      </c>
      <c r="H17" s="4">
        <f t="shared" si="1"/>
        <v>3.4722222222222099E-3</v>
      </c>
    </row>
    <row r="18" spans="1:8" x14ac:dyDescent="0.25">
      <c r="A18" s="1">
        <v>15</v>
      </c>
      <c r="B18" s="2">
        <v>0.52361111111111114</v>
      </c>
      <c r="C18" s="2">
        <v>0.52708333333333335</v>
      </c>
      <c r="D18" s="2">
        <v>0.52916666666666667</v>
      </c>
      <c r="E18" s="2"/>
      <c r="F18" s="2">
        <f>D18-C18</f>
        <v>2.0833333333333259E-3</v>
      </c>
      <c r="G18" s="2">
        <f t="shared" si="0"/>
        <v>3.4722222222222099E-3</v>
      </c>
      <c r="H18" s="4">
        <f t="shared" si="1"/>
        <v>5.5555555555555358E-3</v>
      </c>
    </row>
    <row r="19" spans="1:8" x14ac:dyDescent="0.25">
      <c r="B19" s="2"/>
      <c r="C19" s="2"/>
      <c r="D19" s="2"/>
      <c r="E19" s="2"/>
      <c r="F19" s="1" t="s">
        <v>9</v>
      </c>
      <c r="G19" s="1" t="s">
        <v>9</v>
      </c>
      <c r="H19" s="1" t="s">
        <v>9</v>
      </c>
    </row>
    <row r="20" spans="1:8" x14ac:dyDescent="0.25">
      <c r="B20" s="2"/>
      <c r="C20" s="2"/>
      <c r="D20" s="2"/>
      <c r="E20" s="2"/>
      <c r="F20" s="2">
        <f>AVERAGE(F4:F18)</f>
        <v>1.8055555555555602E-3</v>
      </c>
      <c r="G20" s="2">
        <f>AVERAGE(G4:G18)</f>
        <v>2.3611111111111103E-3</v>
      </c>
      <c r="H20" s="4">
        <f>AVERAGE(H4:H18)</f>
        <v>4.1666666666666701E-3</v>
      </c>
    </row>
    <row r="21" spans="1:8" x14ac:dyDescent="0.25">
      <c r="B21" s="2"/>
      <c r="C21" s="2"/>
      <c r="D21" s="2"/>
      <c r="E21" s="2"/>
    </row>
    <row r="22" spans="1:8" x14ac:dyDescent="0.25">
      <c r="B22" s="2"/>
      <c r="C22" s="2"/>
      <c r="D22" s="2"/>
      <c r="E22" s="2"/>
    </row>
  </sheetData>
  <mergeCells count="1">
    <mergeCell ref="B1:C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269F868655A84496A5E23EC7F3574F" ma:contentTypeVersion="10" ma:contentTypeDescription="Create a new document." ma:contentTypeScope="" ma:versionID="b3d2c44afadf4738de2b282624ba9f2b">
  <xsd:schema xmlns:xsd="http://www.w3.org/2001/XMLSchema" xmlns:xs="http://www.w3.org/2001/XMLSchema" xmlns:p="http://schemas.microsoft.com/office/2006/metadata/properties" xmlns:ns3="0a3134ac-d6c2-4dab-a836-b8cdaacbe80a" targetNamespace="http://schemas.microsoft.com/office/2006/metadata/properties" ma:root="true" ma:fieldsID="76b7c5d1c8edc676ea80713ace0049ce" ns3:_="">
    <xsd:import namespace="0a3134ac-d6c2-4dab-a836-b8cdaacbe8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134ac-d6c2-4dab-a836-b8cdaacbe8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3134ac-d6c2-4dab-a836-b8cdaacbe80a" xsi:nil="true"/>
  </documentManagement>
</p:properties>
</file>

<file path=customXml/itemProps1.xml><?xml version="1.0" encoding="utf-8"?>
<ds:datastoreItem xmlns:ds="http://schemas.openxmlformats.org/officeDocument/2006/customXml" ds:itemID="{AC1751F5-2331-417A-9D4C-A34AAB98A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134ac-d6c2-4dab-a836-b8cdaacbe8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E99E63-6B68-437F-AD46-3512EC6AEB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B0F6D2-DFFC-4CE2-8063-5E45DD210FF8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0a3134ac-d6c2-4dab-a836-b8cdaacbe80a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DIA1-23Abril</vt:lpstr>
      <vt:lpstr>DIA2-24Abril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Santiago Calderon Idarraga</dc:creator>
  <cp:lastModifiedBy>Paula Gabriela Losada Campo</cp:lastModifiedBy>
  <dcterms:created xsi:type="dcterms:W3CDTF">2026-04-24T16:37:19Z</dcterms:created>
  <dcterms:modified xsi:type="dcterms:W3CDTF">2026-04-27T06:36:08Z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0x01010038269F868655A84496A5E23EC7F3574F</vt:lpwstr>
  </property>
</Properties>
</file>